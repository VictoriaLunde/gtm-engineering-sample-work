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0" documentId="8_{4B0CAAB4-74E3-49F8-AFB3-7559BD6EC1C3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riteria &amp; Weights" sheetId="1" r:id="rId1"/>
    <sheet name="Account Scorecard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2" l="1"/>
  <c r="H14" i="2"/>
  <c r="H13" i="2"/>
  <c r="H12" i="2"/>
  <c r="H11" i="2"/>
  <c r="H10" i="2"/>
  <c r="H9" i="2"/>
  <c r="H8" i="2"/>
  <c r="H7" i="2"/>
  <c r="H6" i="2"/>
  <c r="H5" i="2"/>
  <c r="B12" i="1"/>
  <c r="J5" i="2" l="1"/>
  <c r="I5" i="2"/>
  <c r="J6" i="2"/>
  <c r="I6" i="2"/>
  <c r="J7" i="2"/>
  <c r="I7" i="2"/>
  <c r="J8" i="2"/>
  <c r="I8" i="2"/>
  <c r="J9" i="2"/>
  <c r="I9" i="2"/>
  <c r="J10" i="2"/>
  <c r="I10" i="2"/>
  <c r="J11" i="2"/>
  <c r="I11" i="2"/>
  <c r="J12" i="2"/>
  <c r="I12" i="2"/>
  <c r="J13" i="2"/>
  <c r="I13" i="2"/>
  <c r="J14" i="2"/>
  <c r="I14" i="2"/>
  <c r="J15" i="2"/>
  <c r="I15" i="2"/>
</calcChain>
</file>

<file path=xl/sharedStrings.xml><?xml version="1.0" encoding="utf-8"?>
<sst xmlns="http://schemas.openxmlformats.org/spreadsheetml/2006/main" count="46" uniqueCount="46">
  <si>
    <t>ICP Scoring Model — Aviation Robotics Company</t>
  </si>
  <si>
    <t>Precision drilling &amp; descrewing robotics, commercialized from Air Force STRATFI-funded R&amp;D</t>
  </si>
  <si>
    <t>Legend: edit only the yellow Weight cells below. Weights must sum to 100%. Everything else on this sheet is reference text for the sales team.</t>
  </si>
  <si>
    <t>Criterion</t>
  </si>
  <si>
    <t>Weight</t>
  </si>
  <si>
    <t>Score 1 (Low Fit)</t>
  </si>
  <si>
    <t>Score 3 (Moderate Fit)</t>
  </si>
  <si>
    <t>Score 5 (Strong Fit)</t>
  </si>
  <si>
    <t>Production Line / Robotic Cell Volume</t>
  </si>
  <si>
    <t>Fewer than 5 robotic cells or production lines in service</t>
  </si>
  <si>
    <t>5–19 robotic cells or lines, single facility</t>
  </si>
  <si>
    <t>20+ robotic cells/lines in active service, or multi-facility deployment</t>
  </si>
  <si>
    <t>Compliance Exposure</t>
  </si>
  <si>
    <t>No relevant quality or defense-adjacent certification requirement</t>
  </si>
  <si>
    <t>Certification in progress, or required but not yet enforced</t>
  </si>
  <si>
    <t>ISO 9001/AS9100 certified, or active DoD prime/subcontractor status</t>
  </si>
  <si>
    <t>Maintenance Model</t>
  </si>
  <si>
    <t>Fully outsourced tooling maintenance, no internal ops touchpoint</t>
  </si>
  <si>
    <t>Mixed internal/external maintenance, unclear ownership</t>
  </si>
  <si>
    <t>In-house maintenance/tooling team supplemented by outside vendors</t>
  </si>
  <si>
    <t>Growth Signal</t>
  </si>
  <si>
    <t>No recent growth, expansion, or new program signal</t>
  </si>
  <si>
    <t>Some growth activity, timeline unconfirmed</t>
  </si>
  <si>
    <t>Recent contract award, facility expansion, or new production ramp</t>
  </si>
  <si>
    <t>Budget Authority Location</t>
  </si>
  <si>
    <t>No identifiable budget holder for tooling/maintenance spend</t>
  </si>
  <si>
    <t>Budget holder identified below director level</t>
  </si>
  <si>
    <t>Director of Manufacturing Ops or Robotics Program Manager identified</t>
  </si>
  <si>
    <t>Total</t>
  </si>
  <si>
    <t>Note: weights above are illustrative starting points based on comparable industrial-robotics ICP frameworks — recalibrate against your own closed-won accounts once you have 15-20 scored deals.</t>
  </si>
  <si>
    <t>Account Scorecard — Aviation Robotics Company</t>
  </si>
  <si>
    <t>Legend: fill in the yellow cells (Account Name, Segment, and the five 1–5 scores). Weighted Total and Fit Tier calculate automatically from the weights on the 'Criteria &amp; Weights' tab. Row 4 is a filled-in example.</t>
  </si>
  <si>
    <t>Account Name</t>
  </si>
  <si>
    <t>Segment / Notes</t>
  </si>
  <si>
    <t>Production Volume (1-5)</t>
  </si>
  <si>
    <t>Compliance Exposure (1-5)</t>
  </si>
  <si>
    <t>Maintenance Model (1-5)</t>
  </si>
  <si>
    <t>Growth Signal (1-5)</t>
  </si>
  <si>
    <t>Budget Authority (1-5)</t>
  </si>
  <si>
    <t>Weighted Total</t>
  </si>
  <si>
    <t>Fit Tier</t>
  </si>
  <si>
    <t>Entry Point Recommended</t>
  </si>
  <si>
    <t>Next Action</t>
  </si>
  <si>
    <t>Ridgeline Aerostructures (example)</t>
  </si>
  <si>
    <t>Tier-1 aircraft structures supplier, Southeast US</t>
  </si>
  <si>
    <t>Book intro call with Director of Manufacturing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</si>
</sst>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7F7F7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  <font>
      <b/>
      <sz val="14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vertical="center" wrapText="1"/>
    </xf>
    <xf numFmtId="0" fontId="6" fillId="0" borderId="1" xfId="0" applyFont="1" applyBorder="1"/>
    <xf numFmtId="9" fontId="6" fillId="0" borderId="1" xfId="0" applyNumberFormat="1" applyFont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/>
    <xf numFmtId="9" fontId="5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7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showGridLines="0" tabSelected="1" zoomScaleNormal="100" workbookViewId="0">
      <selection sqref="A1:E1"/>
    </sheetView>
  </sheetViews>
  <sheetFormatPr defaultColWidth="8.7109375" defaultRowHeight="15"/>
  <cols>
    <col min="1" max="1" width="26" customWidth="1"/>
    <col min="2" max="2" width="10" customWidth="1"/>
    <col min="3" max="5" width="30" customWidth="1"/>
  </cols>
  <sheetData>
    <row r="1" spans="1:5" ht="18">
      <c r="A1" s="16" t="s">
        <v>0</v>
      </c>
      <c r="B1" s="16"/>
      <c r="C1" s="16"/>
      <c r="D1" s="16"/>
      <c r="E1" s="16"/>
    </row>
    <row r="2" spans="1:5">
      <c r="A2" s="17" t="s">
        <v>1</v>
      </c>
      <c r="B2" s="17"/>
      <c r="C2" s="17"/>
      <c r="D2" s="17"/>
      <c r="E2" s="17"/>
    </row>
    <row r="4" spans="1:5">
      <c r="A4" s="17" t="s">
        <v>2</v>
      </c>
      <c r="B4" s="17"/>
      <c r="C4" s="17"/>
      <c r="D4" s="17"/>
      <c r="E4" s="17"/>
    </row>
    <row r="6" spans="1:5">
      <c r="A6" s="15" t="s">
        <v>3</v>
      </c>
      <c r="B6" s="15" t="s">
        <v>4</v>
      </c>
      <c r="C6" s="15" t="s">
        <v>5</v>
      </c>
      <c r="D6" s="15" t="s">
        <v>6</v>
      </c>
      <c r="E6" s="15" t="s">
        <v>7</v>
      </c>
    </row>
    <row r="7" spans="1:5" ht="48" customHeight="1">
      <c r="A7" s="1" t="s">
        <v>8</v>
      </c>
      <c r="B7" s="14">
        <v>0.25</v>
      </c>
      <c r="C7" s="1" t="s">
        <v>9</v>
      </c>
      <c r="D7" s="1" t="s">
        <v>10</v>
      </c>
      <c r="E7" s="1" t="s">
        <v>11</v>
      </c>
    </row>
    <row r="8" spans="1:5" ht="48" customHeight="1">
      <c r="A8" s="1" t="s">
        <v>12</v>
      </c>
      <c r="B8" s="14">
        <v>0.25</v>
      </c>
      <c r="C8" s="1" t="s">
        <v>13</v>
      </c>
      <c r="D8" s="1" t="s">
        <v>14</v>
      </c>
      <c r="E8" s="1" t="s">
        <v>15</v>
      </c>
    </row>
    <row r="9" spans="1:5" ht="48" customHeight="1">
      <c r="A9" s="1" t="s">
        <v>16</v>
      </c>
      <c r="B9" s="14">
        <v>0.15</v>
      </c>
      <c r="C9" s="1" t="s">
        <v>17</v>
      </c>
      <c r="D9" s="1" t="s">
        <v>18</v>
      </c>
      <c r="E9" s="1" t="s">
        <v>19</v>
      </c>
    </row>
    <row r="10" spans="1:5" ht="48" customHeight="1">
      <c r="A10" s="1" t="s">
        <v>20</v>
      </c>
      <c r="B10" s="14">
        <v>0.15</v>
      </c>
      <c r="C10" s="1" t="s">
        <v>21</v>
      </c>
      <c r="D10" s="1" t="s">
        <v>22</v>
      </c>
      <c r="E10" s="1" t="s">
        <v>23</v>
      </c>
    </row>
    <row r="11" spans="1:5" ht="48" customHeight="1">
      <c r="A11" s="1" t="s">
        <v>24</v>
      </c>
      <c r="B11" s="14">
        <v>0.2</v>
      </c>
      <c r="C11" s="1" t="s">
        <v>25</v>
      </c>
      <c r="D11" s="1" t="s">
        <v>26</v>
      </c>
      <c r="E11" s="1" t="s">
        <v>27</v>
      </c>
    </row>
    <row r="12" spans="1:5" ht="48" customHeight="1">
      <c r="A12" s="2" t="s">
        <v>28</v>
      </c>
      <c r="B12" s="3">
        <f>SUM(B7:B11)</f>
        <v>1</v>
      </c>
      <c r="C12" s="4"/>
      <c r="D12" s="4"/>
      <c r="E12" s="4"/>
    </row>
    <row r="14" spans="1:5" ht="30" customHeight="1">
      <c r="A14" s="17" t="s">
        <v>29</v>
      </c>
      <c r="B14" s="17"/>
      <c r="C14" s="17"/>
      <c r="D14" s="17"/>
      <c r="E14" s="17"/>
    </row>
  </sheetData>
  <mergeCells count="4">
    <mergeCell ref="A1:E1"/>
    <mergeCell ref="A2:E2"/>
    <mergeCell ref="A4:E4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4" customWidth="1"/>
    <col min="2" max="2" width="26" customWidth="1"/>
    <col min="3" max="3" width="13" customWidth="1"/>
    <col min="4" max="4" width="14" customWidth="1"/>
    <col min="5" max="5" width="13" customWidth="1"/>
    <col min="6" max="7" width="12" customWidth="1"/>
    <col min="8" max="8" width="11" customWidth="1"/>
    <col min="9" max="9" width="12" customWidth="1"/>
    <col min="10" max="10" width="16" customWidth="1"/>
    <col min="11" max="11" width="26" customWidth="1"/>
  </cols>
  <sheetData>
    <row r="1" spans="1:11" ht="17.45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7.75" customHeight="1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ht="39.75" customHeight="1">
      <c r="A4" s="5" t="s">
        <v>32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42</v>
      </c>
    </row>
    <row r="5" spans="1:11" ht="30" customHeight="1">
      <c r="A5" s="6" t="s">
        <v>43</v>
      </c>
      <c r="B5" s="6" t="s">
        <v>44</v>
      </c>
      <c r="C5" s="7">
        <v>5</v>
      </c>
      <c r="D5" s="7">
        <v>5</v>
      </c>
      <c r="E5" s="7">
        <v>4</v>
      </c>
      <c r="F5" s="7">
        <v>5</v>
      </c>
      <c r="G5" s="7">
        <v>3</v>
      </c>
      <c r="H5" s="8">
        <f>C5*'Criteria &amp; Weights'!$B$7+D5*'Criteria &amp; Weights'!$B$8+E5*'Criteria &amp; Weights'!$B$9+F5*'Criteria &amp; Weights'!$B$10+G5*'Criteria &amp; Weights'!$B$11</f>
        <v>4.45</v>
      </c>
      <c r="I5" s="9" t="str">
        <f>IF(H5&gt;=4,"Priority Target",IF(H5&gt;=3,"Qualified","Not Fit"))</f>
        <v>Priority Target</v>
      </c>
      <c r="J5" s="10" t="str">
        <f>IF(H5&gt;=4,"Executive (direct)",IF(H5&gt;=3,"Technical or Procurement","Nurture only"))</f>
        <v>Executive (direct)</v>
      </c>
      <c r="K5" s="6" t="s">
        <v>45</v>
      </c>
    </row>
    <row r="6" spans="1:11">
      <c r="A6" s="11"/>
      <c r="B6" s="11"/>
      <c r="C6" s="7"/>
      <c r="D6" s="7"/>
      <c r="E6" s="7"/>
      <c r="F6" s="7"/>
      <c r="G6" s="7"/>
      <c r="H6" s="8" t="str">
        <f>IF(C6="","",C6*'Criteria &amp; Weights'!$B$7+D6*'Criteria &amp; Weights'!$B$8+E6*'Criteria &amp; Weights'!$B$9+F6*'Criteria &amp; Weights'!$B$10+G6*'Criteria &amp; Weights'!$B$11)</f>
        <v/>
      </c>
      <c r="I6" s="9" t="str">
        <f>IF(H6="","",IF(H6&gt;=4,"Priority Target",IF(H6&gt;=3,"Qualified","Not Fit")))</f>
        <v/>
      </c>
      <c r="J6" s="12" t="str">
        <f>IF(H6="","",IF(H6&gt;=4,"Executive (direct)",IF(H6&gt;=3,"Technical or Procurement","Nurture only")))</f>
        <v/>
      </c>
      <c r="K6" s="13"/>
    </row>
    <row r="7" spans="1:11">
      <c r="A7" s="11"/>
      <c r="B7" s="11"/>
      <c r="C7" s="7"/>
      <c r="D7" s="7"/>
      <c r="E7" s="7"/>
      <c r="F7" s="7"/>
      <c r="G7" s="7"/>
      <c r="H7" s="8" t="str">
        <f>IF(C7="","",C7*'Criteria &amp; Weights'!$B$7+D7*'Criteria &amp; Weights'!$B$8+E7*'Criteria &amp; Weights'!$B$9+F7*'Criteria &amp; Weights'!$B$10+G7*'Criteria &amp; Weights'!$B$11)</f>
        <v/>
      </c>
      <c r="I7" s="9" t="str">
        <f>IF(H7="","",IF(H7&gt;=4,"Priority Target",IF(H7&gt;=3,"Qualified","Not Fit")))</f>
        <v/>
      </c>
      <c r="J7" s="12" t="str">
        <f>IF(H7="","",IF(H7&gt;=4,"Executive (direct)",IF(H7&gt;=3,"Technical or Procurement","Nurture only")))</f>
        <v/>
      </c>
      <c r="K7" s="13"/>
    </row>
    <row r="8" spans="1:11">
      <c r="A8" s="11"/>
      <c r="B8" s="11"/>
      <c r="C8" s="7"/>
      <c r="D8" s="7"/>
      <c r="E8" s="7"/>
      <c r="F8" s="7"/>
      <c r="G8" s="7"/>
      <c r="H8" s="8" t="str">
        <f>IF(C8="","",C8*'Criteria &amp; Weights'!$B$7+D8*'Criteria &amp; Weights'!$B$8+E8*'Criteria &amp; Weights'!$B$9+F8*'Criteria &amp; Weights'!$B$10+G8*'Criteria &amp; Weights'!$B$11)</f>
        <v/>
      </c>
      <c r="I8" s="9" t="str">
        <f>IF(H8="","",IF(H8&gt;=4,"Priority Target",IF(H8&gt;=3,"Qualified","Not Fit")))</f>
        <v/>
      </c>
      <c r="J8" s="12" t="str">
        <f>IF(H8="","",IF(H8&gt;=4,"Executive (direct)",IF(H8&gt;=3,"Technical or Procurement","Nurture only")))</f>
        <v/>
      </c>
      <c r="K8" s="13"/>
    </row>
    <row r="9" spans="1:11">
      <c r="A9" s="11"/>
      <c r="B9" s="11"/>
      <c r="C9" s="7"/>
      <c r="D9" s="7"/>
      <c r="E9" s="7"/>
      <c r="F9" s="7"/>
      <c r="G9" s="7"/>
      <c r="H9" s="8" t="str">
        <f>IF(C9="","",C9*'Criteria &amp; Weights'!$B$7+D9*'Criteria &amp; Weights'!$B$8+E9*'Criteria &amp; Weights'!$B$9+F9*'Criteria &amp; Weights'!$B$10+G9*'Criteria &amp; Weights'!$B$11)</f>
        <v/>
      </c>
      <c r="I9" s="9" t="str">
        <f>IF(H9="","",IF(H9&gt;=4,"Priority Target",IF(H9&gt;=3,"Qualified","Not Fit")))</f>
        <v/>
      </c>
      <c r="J9" s="12" t="str">
        <f>IF(H9="","",IF(H9&gt;=4,"Executive (direct)",IF(H9&gt;=3,"Technical or Procurement","Nurture only")))</f>
        <v/>
      </c>
      <c r="K9" s="13"/>
    </row>
    <row r="10" spans="1:11">
      <c r="A10" s="11"/>
      <c r="B10" s="11"/>
      <c r="C10" s="7"/>
      <c r="D10" s="7"/>
      <c r="E10" s="7"/>
      <c r="F10" s="7"/>
      <c r="G10" s="7"/>
      <c r="H10" s="8" t="str">
        <f>IF(C10="","",C10*'Criteria &amp; Weights'!$B$7+D10*'Criteria &amp; Weights'!$B$8+E10*'Criteria &amp; Weights'!$B$9+F10*'Criteria &amp; Weights'!$B$10+G10*'Criteria &amp; Weights'!$B$11)</f>
        <v/>
      </c>
      <c r="I10" s="9" t="str">
        <f>IF(H10="","",IF(H10&gt;=4,"Priority Target",IF(H10&gt;=3,"Qualified","Not Fit")))</f>
        <v/>
      </c>
      <c r="J10" s="12" t="str">
        <f>IF(H10="","",IF(H10&gt;=4,"Executive (direct)",IF(H10&gt;=3,"Technical or Procurement","Nurture only")))</f>
        <v/>
      </c>
      <c r="K10" s="13"/>
    </row>
    <row r="11" spans="1:11">
      <c r="A11" s="11"/>
      <c r="B11" s="11"/>
      <c r="C11" s="7"/>
      <c r="D11" s="7"/>
      <c r="E11" s="7"/>
      <c r="F11" s="7"/>
      <c r="G11" s="7"/>
      <c r="H11" s="8" t="str">
        <f>IF(C11="","",C11*'Criteria &amp; Weights'!$B$7+D11*'Criteria &amp; Weights'!$B$8+E11*'Criteria &amp; Weights'!$B$9+F11*'Criteria &amp; Weights'!$B$10+G11*'Criteria &amp; Weights'!$B$11)</f>
        <v/>
      </c>
      <c r="I11" s="9" t="str">
        <f>IF(H11="","",IF(H11&gt;=4,"Priority Target",IF(H11&gt;=3,"Qualified","Not Fit")))</f>
        <v/>
      </c>
      <c r="J11" s="12" t="str">
        <f>IF(H11="","",IF(H11&gt;=4,"Executive (direct)",IF(H11&gt;=3,"Technical or Procurement","Nurture only")))</f>
        <v/>
      </c>
      <c r="K11" s="13"/>
    </row>
    <row r="12" spans="1:11">
      <c r="A12" s="11"/>
      <c r="B12" s="11"/>
      <c r="C12" s="7"/>
      <c r="D12" s="7"/>
      <c r="E12" s="7"/>
      <c r="F12" s="7"/>
      <c r="G12" s="7"/>
      <c r="H12" s="8" t="str">
        <f>IF(C12="","",C12*'Criteria &amp; Weights'!$B$7+D12*'Criteria &amp; Weights'!$B$8+E12*'Criteria &amp; Weights'!$B$9+F12*'Criteria &amp; Weights'!$B$10+G12*'Criteria &amp; Weights'!$B$11)</f>
        <v/>
      </c>
      <c r="I12" s="9" t="str">
        <f>IF(H12="","",IF(H12&gt;=4,"Priority Target",IF(H12&gt;=3,"Qualified","Not Fit")))</f>
        <v/>
      </c>
      <c r="J12" s="12" t="str">
        <f>IF(H12="","",IF(H12&gt;=4,"Executive (direct)",IF(H12&gt;=3,"Technical or Procurement","Nurture only")))</f>
        <v/>
      </c>
      <c r="K12" s="13"/>
    </row>
    <row r="13" spans="1:11">
      <c r="A13" s="11"/>
      <c r="B13" s="11"/>
      <c r="C13" s="7"/>
      <c r="D13" s="7"/>
      <c r="E13" s="7"/>
      <c r="F13" s="7"/>
      <c r="G13" s="7"/>
      <c r="H13" s="8" t="str">
        <f>IF(C13="","",C13*'Criteria &amp; Weights'!$B$7+D13*'Criteria &amp; Weights'!$B$8+E13*'Criteria &amp; Weights'!$B$9+F13*'Criteria &amp; Weights'!$B$10+G13*'Criteria &amp; Weights'!$B$11)</f>
        <v/>
      </c>
      <c r="I13" s="9" t="str">
        <f>IF(H13="","",IF(H13&gt;=4,"Priority Target",IF(H13&gt;=3,"Qualified","Not Fit")))</f>
        <v/>
      </c>
      <c r="J13" s="12" t="str">
        <f>IF(H13="","",IF(H13&gt;=4,"Executive (direct)",IF(H13&gt;=3,"Technical or Procurement","Nurture only")))</f>
        <v/>
      </c>
      <c r="K13" s="13"/>
    </row>
    <row r="14" spans="1:11">
      <c r="A14" s="11"/>
      <c r="B14" s="11"/>
      <c r="C14" s="7"/>
      <c r="D14" s="7"/>
      <c r="E14" s="7"/>
      <c r="F14" s="7"/>
      <c r="G14" s="7"/>
      <c r="H14" s="8" t="str">
        <f>IF(C14="","",C14*'Criteria &amp; Weights'!$B$7+D14*'Criteria &amp; Weights'!$B$8+E14*'Criteria &amp; Weights'!$B$9+F14*'Criteria &amp; Weights'!$B$10+G14*'Criteria &amp; Weights'!$B$11)</f>
        <v/>
      </c>
      <c r="I14" s="9" t="str">
        <f>IF(H14="","",IF(H14&gt;=4,"Priority Target",IF(H14&gt;=3,"Qualified","Not Fit")))</f>
        <v/>
      </c>
      <c r="J14" s="12" t="str">
        <f>IF(H14="","",IF(H14&gt;=4,"Executive (direct)",IF(H14&gt;=3,"Technical or Procurement","Nurture only")))</f>
        <v/>
      </c>
      <c r="K14" s="13"/>
    </row>
    <row r="15" spans="1:11">
      <c r="A15" s="11"/>
      <c r="B15" s="11"/>
      <c r="C15" s="7"/>
      <c r="D15" s="7"/>
      <c r="E15" s="7"/>
      <c r="F15" s="7"/>
      <c r="G15" s="7"/>
      <c r="H15" s="8" t="str">
        <f>IF(C15="","",C15*'Criteria &amp; Weights'!$B$7+D15*'Criteria &amp; Weights'!$B$8+E15*'Criteria &amp; Weights'!$B$9+F15*'Criteria &amp; Weights'!$B$10+G15*'Criteria &amp; Weights'!$B$11)</f>
        <v/>
      </c>
      <c r="I15" s="9" t="str">
        <f>IF(H15="","",IF(H15&gt;=4,"Priority Target",IF(H15&gt;=3,"Qualified","Not Fit")))</f>
        <v/>
      </c>
      <c r="J15" s="12" t="str">
        <f>IF(H15="","",IF(H15&gt;=4,"Executive (direct)",IF(H15&gt;=3,"Technical or Procurement","Nurture only")))</f>
        <v/>
      </c>
      <c r="K15" s="13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2026-08-20T16:14:10Z</dcterms:created>
  <dcterms:modified xsi:type="dcterms:W3CDTF">2026-08-20T16:26:38Z</dcterms:modified>
  <cp:category/>
  <cp:contentStatus/>
</cp:coreProperties>
</file>